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D:\Users\Ridwan\Documents\Careers\pgce-evidence-tracker\"/>
    </mc:Choice>
  </mc:AlternateContent>
  <xr:revisionPtr revIDLastSave="0" documentId="13_ncr:1_{D81C086E-F4BE-4AA4-A59F-ED353D319432}" xr6:coauthVersionLast="47" xr6:coauthVersionMax="47" xr10:uidLastSave="{00000000-0000-0000-0000-000000000000}"/>
  <bookViews>
    <workbookView xWindow="-120" yWindow="330" windowWidth="38640" windowHeight="21390" xr2:uid="{4E1B0D5C-41B6-4AEC-92AA-CDE17FFDDD3C}"/>
  </bookViews>
  <sheets>
    <sheet name="EvidenceTracker" sheetId="1" r:id="rId1"/>
    <sheet name="Standards" sheetId="2" r:id="rId2"/>
  </sheets>
  <definedNames>
    <definedName name="colStdSpecs">tabStandards[Key &amp; Specification]</definedName>
    <definedName name="colTS">tabEvidenceTracker[[#All],[Teacher Standards'']]</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 i="2" l="1"/>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F2"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H2" i="2"/>
  <c r="H3" i="2" s="1"/>
  <c r="H4" i="2" s="1"/>
  <c r="D4" i="2" s="1"/>
  <c r="E4" i="2" s="1"/>
  <c r="H5" i="2"/>
  <c r="H6" i="2" s="1"/>
  <c r="H7" i="2" s="1"/>
  <c r="H8" i="2" s="1"/>
  <c r="H9" i="2" s="1"/>
  <c r="D9" i="2" s="1"/>
  <c r="E9" i="2" s="1"/>
  <c r="H10" i="2"/>
  <c r="H11" i="2" s="1"/>
  <c r="H12" i="2" s="1"/>
  <c r="H13" i="2" s="1"/>
  <c r="H14" i="2" s="1"/>
  <c r="D14" i="2" s="1"/>
  <c r="E14" i="2" s="1"/>
  <c r="H15" i="2"/>
  <c r="H16" i="2" s="1"/>
  <c r="H17" i="2" s="1"/>
  <c r="H18" i="2" s="1"/>
  <c r="H19" i="2" s="1"/>
  <c r="D19" i="2" s="1"/>
  <c r="E19" i="2" s="1"/>
  <c r="H20" i="2"/>
  <c r="H21" i="2" s="1"/>
  <c r="H24" i="2"/>
  <c r="H25" i="2" s="1"/>
  <c r="H26" i="2" s="1"/>
  <c r="H27" i="2" s="1"/>
  <c r="D27" i="2" s="1"/>
  <c r="E27" i="2" s="1"/>
  <c r="H28" i="2"/>
  <c r="D28" i="2" s="1"/>
  <c r="E28" i="2" s="1"/>
  <c r="H32" i="2"/>
  <c r="H33" i="2" s="1"/>
  <c r="H34" i="2" s="1"/>
  <c r="H35" i="2" s="1"/>
  <c r="H36" i="2" s="1"/>
  <c r="D36" i="2" s="1"/>
  <c r="E36" i="2" s="1"/>
  <c r="D25" i="2" l="1"/>
  <c r="E25" i="2" s="1"/>
  <c r="D5" i="2"/>
  <c r="E5" i="2" s="1"/>
  <c r="D17" i="2"/>
  <c r="E17" i="2" s="1"/>
  <c r="D13" i="2"/>
  <c r="E13" i="2" s="1"/>
  <c r="H29" i="2"/>
  <c r="H30" i="2" s="1"/>
  <c r="H31" i="2" s="1"/>
  <c r="D31" i="2" s="1"/>
  <c r="E31" i="2" s="1"/>
  <c r="D33" i="2"/>
  <c r="E33" i="2" s="1"/>
  <c r="H22" i="2"/>
  <c r="D21" i="2"/>
  <c r="E21" i="2" s="1"/>
  <c r="D29" i="2"/>
  <c r="E29" i="2" s="1"/>
  <c r="D32" i="2"/>
  <c r="E32" i="2" s="1"/>
  <c r="D24" i="2"/>
  <c r="E24" i="2" s="1"/>
  <c r="D20" i="2"/>
  <c r="E20" i="2" s="1"/>
  <c r="D16" i="2"/>
  <c r="E16" i="2" s="1"/>
  <c r="D12" i="2"/>
  <c r="E12" i="2" s="1"/>
  <c r="D8" i="2"/>
  <c r="E8" i="2" s="1"/>
  <c r="D35" i="2"/>
  <c r="E35" i="2" s="1"/>
  <c r="D15" i="2"/>
  <c r="E15" i="2" s="1"/>
  <c r="D11" i="2"/>
  <c r="E11" i="2" s="1"/>
  <c r="D7" i="2"/>
  <c r="E7" i="2" s="1"/>
  <c r="D3" i="2"/>
  <c r="E3" i="2" s="1"/>
  <c r="D34" i="2"/>
  <c r="E34" i="2" s="1"/>
  <c r="D30" i="2"/>
  <c r="E30" i="2" s="1"/>
  <c r="D26" i="2"/>
  <c r="E26" i="2" s="1"/>
  <c r="D18" i="2"/>
  <c r="E18" i="2" s="1"/>
  <c r="D10" i="2"/>
  <c r="E10" i="2" s="1"/>
  <c r="D6" i="2"/>
  <c r="E6" i="2" s="1"/>
  <c r="D2" i="2"/>
  <c r="E2" i="2" s="1"/>
  <c r="H23" i="2" l="1"/>
  <c r="D23" i="2" s="1"/>
  <c r="E23" i="2" s="1"/>
  <c r="D22" i="2"/>
  <c r="E22" i="2" s="1"/>
</calcChain>
</file>

<file path=xl/sharedStrings.xml><?xml version="1.0" encoding="utf-8"?>
<sst xmlns="http://schemas.openxmlformats.org/spreadsheetml/2006/main" count="66" uniqueCount="66">
  <si>
    <t>Summary</t>
  </si>
  <si>
    <t>Detailed</t>
  </si>
  <si>
    <t>Date</t>
  </si>
  <si>
    <t>Teacher Standards'</t>
  </si>
  <si>
    <t>Supporting Evidence</t>
  </si>
  <si>
    <t>Standard</t>
  </si>
  <si>
    <t>Set high expectations which inspire, motivate and challenge pupils</t>
  </si>
  <si>
    <t>Promote good progress and outcomes by pupils</t>
  </si>
  <si>
    <t>establish a safe and stimulating environment for pupils, rooted in mutual respect</t>
  </si>
  <si>
    <t>set goals that stretch and challenge pupils of all backgrounds, abilities and dispositions</t>
  </si>
  <si>
    <t>demonstrate consistently the positive attitudes, values and behaviour which are expected of pupils.</t>
  </si>
  <si>
    <t>be accountable for pupils’ attainment, progress and outcomes</t>
  </si>
  <si>
    <t>be aware of pupils’ capabilities and their prior knowledge, and plan teaching to build on these</t>
  </si>
  <si>
    <t>guide pupils to reflect on the progress they have made and their emerging needs</t>
  </si>
  <si>
    <t>demonstrate knowledge and understanding of how pupils learn and how this impacts on teaching</t>
  </si>
  <si>
    <t>encourage pupils to take a responsible and conscientious attitude to their own work and study.</t>
  </si>
  <si>
    <t>Demonstrate good subject and curriculum knowledge</t>
  </si>
  <si>
    <t>have a secure knowledge of the relevant subject(s) and curriculum areas, foster and maintain pupils’ interest in the subject, and address misunderstandings</t>
  </si>
  <si>
    <t>demonstrate a critical understanding of developments in the subject and curriculum areas, and promote the value of scholarship</t>
  </si>
  <si>
    <t>demonstrate an understanding of and take responsibility for promoting high standards of literacy, articulacy and the correct use of standard English, whatever the teacher’s specialist subject</t>
  </si>
  <si>
    <t>if teaching early reading, demonstrate a clear understanding of systematic synthetic phonics</t>
  </si>
  <si>
    <t>if teaching early mathematics, demonstrate a clear understanding of appropriate teaching strategies.</t>
  </si>
  <si>
    <t>Plan and teach well structured lessons</t>
  </si>
  <si>
    <t>Description</t>
  </si>
  <si>
    <t>impart knowledge and develop understanding through effective use of lesson time</t>
  </si>
  <si>
    <t>promote a love of learning and children’s intellectual curiosity</t>
  </si>
  <si>
    <t>set homework and plan other out-of-class activities to consolidate and extend the knowledge and understanding pupils have acquired</t>
  </si>
  <si>
    <t>reflect systematically on the effectiveness of lessons and approaches to teaching</t>
  </si>
  <si>
    <t>contribute to the design and provision of an engaging curriculum within the relevant subject area(s).</t>
  </si>
  <si>
    <t>Adapt teaching to respond to the strengths and needs of all pupils</t>
  </si>
  <si>
    <t>know when and how to differentiate appropriately, using approaches which enable pupils to be taught effectively</t>
  </si>
  <si>
    <t>have a secure understanding of how a range of factors can inhibit pupils’ ability to learn, and how best to overcome these</t>
  </si>
  <si>
    <t>demonstrate an awareness of the physical, social and intellectual development of children, and know how to adapt teaching to support pupils’ education at different stages of development</t>
  </si>
  <si>
    <t>have a clear understanding of the needs of all pupils, including those with special educational needs; those of high ability; those with English as an additional language; those with disabilities; and be able to use and evaluate distinctive teaching approaches to engage and support them.</t>
  </si>
  <si>
    <t>Make accurate and productive use of assessment</t>
  </si>
  <si>
    <t>know and understand how to assess the relevant subject and curriculum areas, including statutory assessment requirements</t>
  </si>
  <si>
    <t>make use of formative and summative assessment to secure pupils’ progress</t>
  </si>
  <si>
    <t>use relevant data to monitor progress, set targets, and plan subsequent lessons</t>
  </si>
  <si>
    <t>give pupils regular feedback, both orally and through accurate marking, and encourage pupils to respond to the feedback.</t>
  </si>
  <si>
    <t>Manage behaviour effectively to ensure a good and safe learning environment</t>
  </si>
  <si>
    <t>have clear rules and routines for behaviour in classrooms, and take responsibility for promoting good and courteous behaviour both in classrooms and around the school, in accordance with the school’s behaviour policy</t>
  </si>
  <si>
    <t>have high expectations of behaviour, and establish a framework for discipline with a range of strategies, using praise, sanctions and rewards consistently and fairly</t>
  </si>
  <si>
    <t>manage classes effectively, using approaches which are appropriate to pupils’ needs in order to involve and motivate them</t>
  </si>
  <si>
    <t>maintain good relationships with pupils, exercise appropriate authority, and act decisively when necessary.</t>
  </si>
  <si>
    <t>Fulfil wider professional responsibilities</t>
  </si>
  <si>
    <t>make a positive contribution to the wider life and ethos of the school</t>
  </si>
  <si>
    <t>develop effective professional relationships with colleagues, knowing how and when to draw on advice and specialist support</t>
  </si>
  <si>
    <t>deploy support staff effectively</t>
  </si>
  <si>
    <t>take responsibility for improving teaching through appropriate professional development, responding to advice and feedback from colleagues</t>
  </si>
  <si>
    <t>communicate effectively with parents with regard to pupils’ achievements and well-being.</t>
  </si>
  <si>
    <t>Key</t>
  </si>
  <si>
    <t>StdSpec Counter</t>
  </si>
  <si>
    <t>TS2.1, TS1.3, TS2.4</t>
  </si>
  <si>
    <t>Test</t>
  </si>
  <si>
    <t>Test2</t>
  </si>
  <si>
    <t>stuff</t>
  </si>
  <si>
    <t>TS2.4, TS7.3, TS8.3</t>
  </si>
  <si>
    <t>Threshold</t>
  </si>
  <si>
    <t>Unacceptable</t>
  </si>
  <si>
    <t>Acceptable</t>
  </si>
  <si>
    <t>Outstanding</t>
  </si>
  <si>
    <t>Occurrences
of Standard</t>
  </si>
  <si>
    <t>Occurences
of Specification</t>
  </si>
  <si>
    <t>Specification</t>
  </si>
  <si>
    <t>Key &amp; Specification</t>
  </si>
  <si>
    <t>Specification Occurrence Categories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</si>
</sst>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5">
    <fill>
      <patternFill patternType="none"/>
    </fill>
    <fill>
      <patternFill patternType="gray125"/>
    </fill>
    <fill>
      <patternFill patternType="solid">
        <fgColor rgb="FFF8696B"/>
        <bgColor indexed="64"/>
      </patternFill>
    </fill>
    <fill>
      <patternFill patternType="solid">
        <fgColor rgb="FFFFEB84"/>
        <bgColor indexed="64"/>
      </patternFill>
    </fill>
    <fill>
      <patternFill patternType="solid">
        <fgColor rgb="FF63BE7B"/>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vertical="center" wrapText="1"/>
    </xf>
    <xf numFmtId="0" fontId="0" fillId="0" borderId="0" xfId="0" applyAlignment="1">
      <alignment vertical="center"/>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horizontal="center" vertical="center"/>
    </xf>
    <xf numFmtId="14" fontId="0" fillId="0" borderId="0" xfId="0" applyNumberFormat="1"/>
    <xf numFmtId="0" fontId="0" fillId="2" borderId="0" xfId="0" applyFill="1" applyAlignment="1">
      <alignment horizontal="center" vertical="center" wrapText="1"/>
    </xf>
    <xf numFmtId="0" fontId="0" fillId="3" borderId="0" xfId="0" applyFill="1" applyAlignment="1">
      <alignment horizontal="center" vertical="center" wrapText="1"/>
    </xf>
    <xf numFmtId="0" fontId="0" fillId="4" borderId="0" xfId="0" applyFill="1" applyAlignment="1">
      <alignment horizontal="center" vertical="center" wrapText="1"/>
    </xf>
  </cellXfs>
  <cellStyles count="1">
    <cellStyle name="Normal" xfId="0" builtinId="0"/>
  </cellStyles>
  <dxfs count="14">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9" formatCode="dd/mm/yyyy"/>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center"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left" vertical="center" textRotation="0" wrapText="1" indent="0" justifyLastLine="0" shrinkToFit="0" readingOrder="0"/>
    </dxf>
    <dxf>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CD92B3-0078-4313-A88A-6E2F71441D6A}" name="tabEvidenceTracker" displayName="tabEvidenceTracker" ref="A2:E4" totalsRowShown="0">
  <autoFilter ref="A2:E4" xr:uid="{BFCD92B3-0078-4313-A88A-6E2F71441D6A}"/>
  <sortState xmlns:xlrd2="http://schemas.microsoft.com/office/spreadsheetml/2017/richdata2" ref="A3:E4">
    <sortCondition ref="C2:C4"/>
  </sortState>
  <tableColumns count="5">
    <tableColumn id="1" xr3:uid="{71AF758A-5B18-4DB8-8811-0D667CA5B29F}" name="Summary"/>
    <tableColumn id="2" xr3:uid="{2E2E49EF-E324-49A3-8268-754C31022E02}" name="Detailed"/>
    <tableColumn id="3" xr3:uid="{899B30E4-9F27-4654-A5E5-1E2FCF380F79}" name="Date" dataDxfId="3"/>
    <tableColumn id="4" xr3:uid="{DF62213E-7640-4C87-A068-C8FD9C4900CB}" name="Teacher Standards'"/>
    <tableColumn id="5" xr3:uid="{C7B7AE11-423C-4074-9F4B-94A120037414}" name="Supporting Evidence"/>
  </tableColumns>
  <tableStyleInfo name="TableStyleMedium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29C3E9C-CF42-454A-8257-F13F7CD914AD}" name="tabStandards" displayName="tabStandards" ref="A1:H36" totalsRowShown="0" headerRowDxfId="11" dataDxfId="10">
  <autoFilter ref="A1:H36" xr:uid="{429C3E9C-CF42-454A-8257-F13F7CD914AD}"/>
  <tableColumns count="8">
    <tableColumn id="1" xr3:uid="{4B783A8B-B0F9-49AD-A8B8-EC1DB03C5FED}" name="Standard" dataDxfId="13"/>
    <tableColumn id="2" xr3:uid="{D2AC5EF8-00A5-48AB-AAD3-C0EE85EF2D43}" name="Description" dataDxfId="12"/>
    <tableColumn id="3" xr3:uid="{7DD8BC09-F332-4987-B4A5-66F9C262D065}" name="Specification" dataDxfId="8"/>
    <tableColumn id="5" xr3:uid="{7DA7B6A9-7BF2-4998-BE4E-D875E96C80A7}" name="Key" dataDxfId="6">
      <calculatedColumnFormula>_xlfn.CONCAT("TS", tabStandards[[#This Row],[Standard]], ".", tabStandards[[#This Row],[StdSpec Counter]])</calculatedColumnFormula>
    </tableColumn>
    <tableColumn id="6" xr3:uid="{5F468172-D9B3-4955-AF59-3525E00D953F}" name="Key &amp; Specification" dataDxfId="7">
      <calculatedColumnFormula>_xlfn.CONCAT(tabStandards[[#This Row],[Key]], " ", tabStandards[[#This Row],[Specification]])</calculatedColumnFormula>
    </tableColumn>
    <tableColumn id="7" xr3:uid="{1876D6A6-2846-45FC-8952-55090510A3A1}" name="Occurrences_x000a_of Standard" dataDxfId="5">
      <calculatedColumnFormula>IF(NOT($A2=$A1), COUNTIF(INDEX(tabEvidenceTracker[Teacher Standards''], 0), "*TS"&amp;tabStandards[[#This Row],[Standard]]&amp;".*"), "")</calculatedColumnFormula>
    </tableColumn>
    <tableColumn id="8" xr3:uid="{34CF9C85-BE5C-4F52-8D38-FC2EDB360C58}" name="Occurences_x000a_of Specification" dataDxfId="4">
      <calculatedColumnFormula>COUNTIF(INDEX(tabEvidenceTracker[Teacher Standards''], 0), "*"&amp;tabStandards[[#This Row],[Key]]&amp;"*")</calculatedColumnFormula>
    </tableColumn>
    <tableColumn id="4" xr3:uid="{20916758-0E8C-4EFD-BDF3-DF8AB176C44D}" name="StdSpec Counter" dataDxfId="9">
      <calculatedColumnFormula>IF(NOT($A2=$A1),1, H1+1)</calculatedColumnFormula>
    </tableColumn>
  </tableColumns>
  <tableStyleInfo name="TableStyleMedium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B0464C-2640-4265-9F27-7D2D36C89AF4}" name="tabResponsibilityThresholds" displayName="tabResponsibilityThresholds" ref="J1:K4" totalsRowShown="0" dataDxfId="2">
  <autoFilter ref="J1:K4" xr:uid="{9FB0464C-2640-4265-9F27-7D2D36C89AF4}"/>
  <tableColumns count="2">
    <tableColumn id="1" xr3:uid="{E541C34E-43BC-4714-B088-2523BB7E77A3}" name="Specification Occurrence Categories" dataDxfId="1"/>
    <tableColumn id="2" xr3:uid="{04618E53-7F8F-4F9E-9E52-2F6E2449DB46}" name="Threshold"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8BD65-C776-4C16-BC52-43E976B9D557}">
  <sheetPr codeName="Sheet1"/>
  <dimension ref="A2:F18"/>
  <sheetViews>
    <sheetView tabSelected="1" zoomScaleNormal="100" workbookViewId="0">
      <selection activeCell="B9" sqref="B9"/>
    </sheetView>
  </sheetViews>
  <sheetFormatPr defaultColWidth="0" defaultRowHeight="15" x14ac:dyDescent="0.25"/>
  <cols>
    <col min="1" max="1" width="37.5703125" customWidth="1"/>
    <col min="2" max="2" width="74.7109375" customWidth="1"/>
    <col min="3" max="3" width="14.42578125" customWidth="1"/>
    <col min="4" max="4" width="69" customWidth="1"/>
    <col min="5" max="5" width="21.28515625" customWidth="1"/>
    <col min="6" max="6" width="11" hidden="1"/>
    <col min="7" max="16384" width="9.140625" hidden="1"/>
  </cols>
  <sheetData>
    <row r="2" spans="1:5" x14ac:dyDescent="0.25">
      <c r="A2" t="s">
        <v>0</v>
      </c>
      <c r="B2" t="s">
        <v>1</v>
      </c>
      <c r="C2" s="6" t="s">
        <v>2</v>
      </c>
      <c r="D2" t="s">
        <v>3</v>
      </c>
      <c r="E2" t="s">
        <v>4</v>
      </c>
    </row>
    <row r="3" spans="1:5" x14ac:dyDescent="0.25">
      <c r="A3" t="s">
        <v>54</v>
      </c>
      <c r="B3" t="s">
        <v>55</v>
      </c>
      <c r="C3" s="6">
        <v>44621</v>
      </c>
      <c r="D3" t="s">
        <v>56</v>
      </c>
    </row>
    <row r="4" spans="1:5" x14ac:dyDescent="0.25">
      <c r="A4" t="s">
        <v>53</v>
      </c>
      <c r="C4" s="6">
        <v>44657</v>
      </c>
      <c r="D4" t="s">
        <v>52</v>
      </c>
    </row>
    <row r="18" spans="4:4" x14ac:dyDescent="0.25">
      <c r="D18" s="6"/>
    </row>
  </sheetData>
  <dataValidations count="2">
    <dataValidation type="list" allowBlank="1" showInputMessage="1" showErrorMessage="1" sqref="D3:D4" xr:uid="{4DBF63A2-407A-4EC5-A6C6-93EFAF556EEC}">
      <formula1>colStdSpecs</formula1>
    </dataValidation>
    <dataValidation type="date" operator="lessThan" allowBlank="1" showInputMessage="1" showErrorMessage="1" sqref="C3:C4" xr:uid="{0D3382F8-D692-45E9-9217-FF601BC2DB31}">
      <formula1>TODAY()+1</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514AF7-EE23-4AF4-8931-977413C7BBDA}">
  <sheetPr codeName="Sheet2"/>
  <dimension ref="A1:K36"/>
  <sheetViews>
    <sheetView workbookViewId="0">
      <selection activeCell="G4" sqref="G4"/>
    </sheetView>
  </sheetViews>
  <sheetFormatPr defaultColWidth="0" defaultRowHeight="15" zeroHeight="1" x14ac:dyDescent="0.25"/>
  <cols>
    <col min="1" max="1" width="11" style="3" customWidth="1"/>
    <col min="2" max="2" width="49.28515625" style="4" customWidth="1"/>
    <col min="3" max="3" width="57.140625" style="1" customWidth="1"/>
    <col min="4" max="4" width="8.85546875" style="5" bestFit="1" customWidth="1"/>
    <col min="5" max="5" width="49.140625" style="1" hidden="1" customWidth="1"/>
    <col min="6" max="6" width="16.42578125" style="5" bestFit="1" customWidth="1"/>
    <col min="7" max="7" width="19.42578125" style="5" bestFit="1" customWidth="1"/>
    <col min="8" max="8" width="10.5703125" style="5" hidden="1" customWidth="1"/>
    <col min="9" max="9" width="1.7109375" style="2" customWidth="1"/>
    <col min="10" max="10" width="20.85546875" style="2" bestFit="1" customWidth="1"/>
    <col min="11" max="11" width="14.42578125" style="2" bestFit="1" customWidth="1"/>
    <col min="12" max="16384" width="9.140625" style="2" hidden="1"/>
  </cols>
  <sheetData>
    <row r="1" spans="1:11" ht="45" x14ac:dyDescent="0.25">
      <c r="A1" s="3" t="s">
        <v>5</v>
      </c>
      <c r="B1" s="4" t="s">
        <v>23</v>
      </c>
      <c r="C1" s="1" t="s">
        <v>63</v>
      </c>
      <c r="D1" s="3" t="s">
        <v>50</v>
      </c>
      <c r="E1" s="1" t="s">
        <v>64</v>
      </c>
      <c r="F1" s="3" t="s">
        <v>61</v>
      </c>
      <c r="G1" s="3" t="s">
        <v>62</v>
      </c>
      <c r="H1" s="5" t="s">
        <v>51</v>
      </c>
      <c r="J1" s="3" t="s">
        <v>65</v>
      </c>
      <c r="K1" s="5" t="s">
        <v>57</v>
      </c>
    </row>
    <row r="2" spans="1:11" ht="30" x14ac:dyDescent="0.25">
      <c r="A2" s="3">
        <v>1</v>
      </c>
      <c r="B2" s="4" t="s">
        <v>6</v>
      </c>
      <c r="C2" s="1" t="s">
        <v>8</v>
      </c>
      <c r="D2" s="3" t="str">
        <f>_xlfn.CONCAT("TS", tabStandards[[#This Row],[Standard]], ".", tabStandards[[#This Row],[StdSpec Counter]])</f>
        <v>TS1.1</v>
      </c>
      <c r="E2" s="1" t="str">
        <f>_xlfn.CONCAT(tabStandards[[#This Row],[Key]], " ", tabStandards[[#This Row],[Specification]])</f>
        <v>TS1.1 establish a safe and stimulating environment for pupils, rooted in mutual respect</v>
      </c>
      <c r="F2" s="3">
        <f>IF(NOT($A2=$A1), COUNTIF(INDEX(tabEvidenceTracker[Teacher Standards''], 0), "*TS"&amp;tabStandards[[#This Row],[Standard]]&amp;".*"), "")</f>
        <v>1</v>
      </c>
      <c r="G2" s="3">
        <f>COUNTIF(INDEX(tabEvidenceTracker[Teacher Standards''], 0), "*"&amp;tabStandards[[#This Row],[Key]]&amp;"*")</f>
        <v>0</v>
      </c>
      <c r="H2" s="5">
        <f t="shared" ref="H2:H36" si="0">IF(NOT($A2=$A1),1, H1+1)</f>
        <v>1</v>
      </c>
      <c r="J2" s="7" t="s">
        <v>58</v>
      </c>
      <c r="K2" s="3">
        <v>0</v>
      </c>
    </row>
    <row r="3" spans="1:11" ht="30" x14ac:dyDescent="0.25">
      <c r="A3" s="3">
        <v>1</v>
      </c>
      <c r="C3" s="1" t="s">
        <v>9</v>
      </c>
      <c r="D3" s="3" t="str">
        <f>_xlfn.CONCAT("TS", tabStandards[[#This Row],[Standard]], ".", tabStandards[[#This Row],[StdSpec Counter]])</f>
        <v>TS1.2</v>
      </c>
      <c r="E3" s="1" t="str">
        <f>_xlfn.CONCAT(tabStandards[[#This Row],[Key]], " ", tabStandards[[#This Row],[Specification]])</f>
        <v>TS1.2 set goals that stretch and challenge pupils of all backgrounds, abilities and dispositions</v>
      </c>
      <c r="F3" s="3" t="str">
        <f>IF(NOT($A3=$A2), COUNTIF(INDEX(tabEvidenceTracker[Teacher Standards''], 0), "*TS"&amp;tabStandards[[#This Row],[Standard]]&amp;".*"), "")</f>
        <v/>
      </c>
      <c r="G3" s="3">
        <f>COUNTIF(INDEX(tabEvidenceTracker[Teacher Standards''], 0), "*"&amp;tabStandards[[#This Row],[Key]]&amp;"*")</f>
        <v>0</v>
      </c>
      <c r="H3" s="5">
        <f t="shared" si="0"/>
        <v>2</v>
      </c>
      <c r="J3" s="8" t="s">
        <v>59</v>
      </c>
      <c r="K3" s="3">
        <v>1</v>
      </c>
    </row>
    <row r="4" spans="1:11" ht="45" x14ac:dyDescent="0.25">
      <c r="A4" s="3">
        <v>1</v>
      </c>
      <c r="C4" s="1" t="s">
        <v>10</v>
      </c>
      <c r="D4" s="3" t="str">
        <f>_xlfn.CONCAT("TS", tabStandards[[#This Row],[Standard]], ".", tabStandards[[#This Row],[StdSpec Counter]])</f>
        <v>TS1.3</v>
      </c>
      <c r="E4" s="1" t="str">
        <f>_xlfn.CONCAT(tabStandards[[#This Row],[Key]], " ", tabStandards[[#This Row],[Specification]])</f>
        <v>TS1.3 demonstrate consistently the positive attitudes, values and behaviour which are expected of pupils.</v>
      </c>
      <c r="F4" s="3" t="str">
        <f>IF(NOT($A4=$A3), COUNTIF(INDEX(tabEvidenceTracker[Teacher Standards''], 0), "*TS"&amp;tabStandards[[#This Row],[Standard]]&amp;".*"), "")</f>
        <v/>
      </c>
      <c r="G4" s="3">
        <f>COUNTIF(INDEX(tabEvidenceTracker[Teacher Standards''], 0), "*"&amp;tabStandards[[#This Row],[Key]]&amp;"*")</f>
        <v>1</v>
      </c>
      <c r="H4" s="5">
        <f t="shared" si="0"/>
        <v>3</v>
      </c>
      <c r="J4" s="9" t="s">
        <v>60</v>
      </c>
      <c r="K4" s="3">
        <v>3</v>
      </c>
    </row>
    <row r="5" spans="1:11" ht="30" x14ac:dyDescent="0.25">
      <c r="A5" s="3">
        <v>2</v>
      </c>
      <c r="B5" s="4" t="s">
        <v>7</v>
      </c>
      <c r="C5" s="1" t="s">
        <v>11</v>
      </c>
      <c r="D5" s="3" t="str">
        <f>_xlfn.CONCAT("TS", tabStandards[[#This Row],[Standard]], ".", tabStandards[[#This Row],[StdSpec Counter]])</f>
        <v>TS2.1</v>
      </c>
      <c r="E5" s="1" t="str">
        <f>_xlfn.CONCAT(tabStandards[[#This Row],[Key]], " ", tabStandards[[#This Row],[Specification]])</f>
        <v>TS2.1 be accountable for pupils’ attainment, progress and outcomes</v>
      </c>
      <c r="F5" s="3">
        <f>IF(NOT($A5=$A4), COUNTIF(INDEX(tabEvidenceTracker[Teacher Standards''], 0), "*TS"&amp;tabStandards[[#This Row],[Standard]]&amp;".*"), "")</f>
        <v>2</v>
      </c>
      <c r="G5" s="3">
        <f>COUNTIF(INDEX(tabEvidenceTracker[Teacher Standards''], 0), "*"&amp;tabStandards[[#This Row],[Key]]&amp;"*")</f>
        <v>1</v>
      </c>
      <c r="H5" s="5">
        <f t="shared" si="0"/>
        <v>1</v>
      </c>
    </row>
    <row r="6" spans="1:11" ht="30" x14ac:dyDescent="0.25">
      <c r="A6" s="3">
        <v>2</v>
      </c>
      <c r="C6" s="1" t="s">
        <v>12</v>
      </c>
      <c r="D6" s="3" t="str">
        <f>_xlfn.CONCAT("TS", tabStandards[[#This Row],[Standard]], ".", tabStandards[[#This Row],[StdSpec Counter]])</f>
        <v>TS2.2</v>
      </c>
      <c r="E6" s="1" t="str">
        <f>_xlfn.CONCAT(tabStandards[[#This Row],[Key]], " ", tabStandards[[#This Row],[Specification]])</f>
        <v>TS2.2 be aware of pupils’ capabilities and their prior knowledge, and plan teaching to build on these</v>
      </c>
      <c r="F6" s="3" t="str">
        <f>IF(NOT($A6=$A5), COUNTIF(INDEX(tabEvidenceTracker[Teacher Standards''], 0), "*TS"&amp;tabStandards[[#This Row],[Standard]]&amp;".*"), "")</f>
        <v/>
      </c>
      <c r="G6" s="3">
        <f>COUNTIF(INDEX(tabEvidenceTracker[Teacher Standards''], 0), "*"&amp;tabStandards[[#This Row],[Key]]&amp;"*")</f>
        <v>0</v>
      </c>
      <c r="H6" s="5">
        <f t="shared" si="0"/>
        <v>2</v>
      </c>
    </row>
    <row r="7" spans="1:11" ht="30" x14ac:dyDescent="0.25">
      <c r="A7" s="3">
        <v>2</v>
      </c>
      <c r="C7" s="1" t="s">
        <v>13</v>
      </c>
      <c r="D7" s="3" t="str">
        <f>_xlfn.CONCAT("TS", tabStandards[[#This Row],[Standard]], ".", tabStandards[[#This Row],[StdSpec Counter]])</f>
        <v>TS2.3</v>
      </c>
      <c r="E7" s="1" t="str">
        <f>_xlfn.CONCAT(tabStandards[[#This Row],[Key]], " ", tabStandards[[#This Row],[Specification]])</f>
        <v>TS2.3 guide pupils to reflect on the progress they have made and their emerging needs</v>
      </c>
      <c r="F7" s="3" t="str">
        <f>IF(NOT($A7=$A6), COUNTIF(INDEX(tabEvidenceTracker[Teacher Standards''], 0), "*TS"&amp;tabStandards[[#This Row],[Standard]]&amp;".*"), "")</f>
        <v/>
      </c>
      <c r="G7" s="3">
        <f>COUNTIF(INDEX(tabEvidenceTracker[Teacher Standards''], 0), "*"&amp;tabStandards[[#This Row],[Key]]&amp;"*")</f>
        <v>0</v>
      </c>
      <c r="H7" s="5">
        <f t="shared" si="0"/>
        <v>3</v>
      </c>
    </row>
    <row r="8" spans="1:11" ht="30" x14ac:dyDescent="0.25">
      <c r="A8" s="3">
        <v>2</v>
      </c>
      <c r="C8" s="1" t="s">
        <v>14</v>
      </c>
      <c r="D8" s="3" t="str">
        <f>_xlfn.CONCAT("TS", tabStandards[[#This Row],[Standard]], ".", tabStandards[[#This Row],[StdSpec Counter]])</f>
        <v>TS2.4</v>
      </c>
      <c r="E8" s="1" t="str">
        <f>_xlfn.CONCAT(tabStandards[[#This Row],[Key]], " ", tabStandards[[#This Row],[Specification]])</f>
        <v>TS2.4 demonstrate knowledge and understanding of how pupils learn and how this impacts on teaching</v>
      </c>
      <c r="F8" s="3" t="str">
        <f>IF(NOT($A8=$A7), COUNTIF(INDEX(tabEvidenceTracker[Teacher Standards''], 0), "*TS"&amp;tabStandards[[#This Row],[Standard]]&amp;".*"), "")</f>
        <v/>
      </c>
      <c r="G8" s="3">
        <f>COUNTIF(INDEX(tabEvidenceTracker[Teacher Standards''], 0), "*"&amp;tabStandards[[#This Row],[Key]]&amp;"*")</f>
        <v>2</v>
      </c>
      <c r="H8" s="5">
        <f t="shared" si="0"/>
        <v>4</v>
      </c>
    </row>
    <row r="9" spans="1:11" ht="30" x14ac:dyDescent="0.25">
      <c r="A9" s="3">
        <v>2</v>
      </c>
      <c r="C9" s="1" t="s">
        <v>15</v>
      </c>
      <c r="D9" s="3" t="str">
        <f>_xlfn.CONCAT("TS", tabStandards[[#This Row],[Standard]], ".", tabStandards[[#This Row],[StdSpec Counter]])</f>
        <v>TS2.5</v>
      </c>
      <c r="E9" s="1" t="str">
        <f>_xlfn.CONCAT(tabStandards[[#This Row],[Key]], " ", tabStandards[[#This Row],[Specification]])</f>
        <v>TS2.5 encourage pupils to take a responsible and conscientious attitude to their own work and study.</v>
      </c>
      <c r="F9" s="3" t="str">
        <f>IF(NOT($A9=$A8), COUNTIF(INDEX(tabEvidenceTracker[Teacher Standards''], 0), "*TS"&amp;tabStandards[[#This Row],[Standard]]&amp;".*"), "")</f>
        <v/>
      </c>
      <c r="G9" s="3">
        <f>COUNTIF(INDEX(tabEvidenceTracker[Teacher Standards''], 0), "*"&amp;tabStandards[[#This Row],[Key]]&amp;"*")</f>
        <v>0</v>
      </c>
      <c r="H9" s="5">
        <f t="shared" si="0"/>
        <v>5</v>
      </c>
    </row>
    <row r="10" spans="1:11" ht="60" x14ac:dyDescent="0.25">
      <c r="A10" s="3">
        <v>3</v>
      </c>
      <c r="B10" s="4" t="s">
        <v>16</v>
      </c>
      <c r="C10" s="1" t="s">
        <v>17</v>
      </c>
      <c r="D10" s="3" t="str">
        <f>_xlfn.CONCAT("TS", tabStandards[[#This Row],[Standard]], ".", tabStandards[[#This Row],[StdSpec Counter]])</f>
        <v>TS3.1</v>
      </c>
      <c r="E10" s="1" t="str">
        <f>_xlfn.CONCAT(tabStandards[[#This Row],[Key]], " ", tabStandards[[#This Row],[Specification]])</f>
        <v>TS3.1 have a secure knowledge of the relevant subject(s) and curriculum areas, foster and maintain pupils’ interest in the subject, and address misunderstandings</v>
      </c>
      <c r="F10" s="3">
        <f>IF(NOT($A10=$A9), COUNTIF(INDEX(tabEvidenceTracker[Teacher Standards''], 0), "*TS"&amp;tabStandards[[#This Row],[Standard]]&amp;".*"), "")</f>
        <v>0</v>
      </c>
      <c r="G10" s="3">
        <f>COUNTIF(INDEX(tabEvidenceTracker[Teacher Standards''], 0), "*"&amp;tabStandards[[#This Row],[Key]]&amp;"*")</f>
        <v>0</v>
      </c>
      <c r="H10" s="5">
        <f t="shared" si="0"/>
        <v>1</v>
      </c>
    </row>
    <row r="11" spans="1:11" ht="45" x14ac:dyDescent="0.25">
      <c r="A11" s="3">
        <v>3</v>
      </c>
      <c r="C11" s="1" t="s">
        <v>18</v>
      </c>
      <c r="D11" s="3" t="str">
        <f>_xlfn.CONCAT("TS", tabStandards[[#This Row],[Standard]], ".", tabStandards[[#This Row],[StdSpec Counter]])</f>
        <v>TS3.2</v>
      </c>
      <c r="E11" s="1" t="str">
        <f>_xlfn.CONCAT(tabStandards[[#This Row],[Key]], " ", tabStandards[[#This Row],[Specification]])</f>
        <v>TS3.2 demonstrate a critical understanding of developments in the subject and curriculum areas, and promote the value of scholarship</v>
      </c>
      <c r="F11" s="3" t="str">
        <f>IF(NOT($A11=$A10), COUNTIF(INDEX(tabEvidenceTracker[Teacher Standards''], 0), "*TS"&amp;tabStandards[[#This Row],[Standard]]&amp;".*"), "")</f>
        <v/>
      </c>
      <c r="G11" s="3">
        <f>COUNTIF(INDEX(tabEvidenceTracker[Teacher Standards''], 0), "*"&amp;tabStandards[[#This Row],[Key]]&amp;"*")</f>
        <v>0</v>
      </c>
      <c r="H11" s="5">
        <f t="shared" si="0"/>
        <v>2</v>
      </c>
    </row>
    <row r="12" spans="1:11" ht="60" x14ac:dyDescent="0.25">
      <c r="A12" s="3">
        <v>3</v>
      </c>
      <c r="C12" s="1" t="s">
        <v>19</v>
      </c>
      <c r="D12" s="3" t="str">
        <f>_xlfn.CONCAT("TS", tabStandards[[#This Row],[Standard]], ".", tabStandards[[#This Row],[StdSpec Counter]])</f>
        <v>TS3.3</v>
      </c>
      <c r="E12" s="1" t="str">
        <f>_xlfn.CONCAT(tabStandards[[#This Row],[Key]], " ", tabStandards[[#This Row],[Specification]])</f>
        <v>TS3.3 demonstrate an understanding of and take responsibility for promoting high standards of literacy, articulacy and the correct use of standard English, whatever the teacher’s specialist subject</v>
      </c>
      <c r="F12" s="3" t="str">
        <f>IF(NOT($A12=$A11), COUNTIF(INDEX(tabEvidenceTracker[Teacher Standards''], 0), "*TS"&amp;tabStandards[[#This Row],[Standard]]&amp;".*"), "")</f>
        <v/>
      </c>
      <c r="G12" s="3">
        <f>COUNTIF(INDEX(tabEvidenceTracker[Teacher Standards''], 0), "*"&amp;tabStandards[[#This Row],[Key]]&amp;"*")</f>
        <v>0</v>
      </c>
      <c r="H12" s="5">
        <f t="shared" si="0"/>
        <v>3</v>
      </c>
    </row>
    <row r="13" spans="1:11" ht="30" x14ac:dyDescent="0.25">
      <c r="A13" s="3">
        <v>3</v>
      </c>
      <c r="C13" s="1" t="s">
        <v>20</v>
      </c>
      <c r="D13" s="3" t="str">
        <f>_xlfn.CONCAT("TS", tabStandards[[#This Row],[Standard]], ".", tabStandards[[#This Row],[StdSpec Counter]])</f>
        <v>TS3.4</v>
      </c>
      <c r="E13" s="1" t="str">
        <f>_xlfn.CONCAT(tabStandards[[#This Row],[Key]], " ", tabStandards[[#This Row],[Specification]])</f>
        <v>TS3.4 if teaching early reading, demonstrate a clear understanding of systematic synthetic phonics</v>
      </c>
      <c r="F13" s="3" t="str">
        <f>IF(NOT($A13=$A12), COUNTIF(INDEX(tabEvidenceTracker[Teacher Standards''], 0), "*TS"&amp;tabStandards[[#This Row],[Standard]]&amp;".*"), "")</f>
        <v/>
      </c>
      <c r="G13" s="3">
        <f>COUNTIF(INDEX(tabEvidenceTracker[Teacher Standards''], 0), "*"&amp;tabStandards[[#This Row],[Key]]&amp;"*")</f>
        <v>0</v>
      </c>
      <c r="H13" s="5">
        <f t="shared" si="0"/>
        <v>4</v>
      </c>
    </row>
    <row r="14" spans="1:11" ht="45" x14ac:dyDescent="0.25">
      <c r="A14" s="3">
        <v>3</v>
      </c>
      <c r="C14" s="1" t="s">
        <v>21</v>
      </c>
      <c r="D14" s="3" t="str">
        <f>_xlfn.CONCAT("TS", tabStandards[[#This Row],[Standard]], ".", tabStandards[[#This Row],[StdSpec Counter]])</f>
        <v>TS3.5</v>
      </c>
      <c r="E14" s="1" t="str">
        <f>_xlfn.CONCAT(tabStandards[[#This Row],[Key]], " ", tabStandards[[#This Row],[Specification]])</f>
        <v>TS3.5 if teaching early mathematics, demonstrate a clear understanding of appropriate teaching strategies.</v>
      </c>
      <c r="F14" s="3" t="str">
        <f>IF(NOT($A14=$A13), COUNTIF(INDEX(tabEvidenceTracker[Teacher Standards''], 0), "*TS"&amp;tabStandards[[#This Row],[Standard]]&amp;".*"), "")</f>
        <v/>
      </c>
      <c r="G14" s="3">
        <f>COUNTIF(INDEX(tabEvidenceTracker[Teacher Standards''], 0), "*"&amp;tabStandards[[#This Row],[Key]]&amp;"*")</f>
        <v>0</v>
      </c>
      <c r="H14" s="5">
        <f t="shared" si="0"/>
        <v>5</v>
      </c>
    </row>
    <row r="15" spans="1:11" ht="30" x14ac:dyDescent="0.25">
      <c r="A15" s="3">
        <v>4</v>
      </c>
      <c r="B15" s="4" t="s">
        <v>22</v>
      </c>
      <c r="C15" s="1" t="s">
        <v>24</v>
      </c>
      <c r="D15" s="3" t="str">
        <f>_xlfn.CONCAT("TS", tabStandards[[#This Row],[Standard]], ".", tabStandards[[#This Row],[StdSpec Counter]])</f>
        <v>TS4.1</v>
      </c>
      <c r="E15" s="1" t="str">
        <f>_xlfn.CONCAT(tabStandards[[#This Row],[Key]], " ", tabStandards[[#This Row],[Specification]])</f>
        <v>TS4.1 impart knowledge and develop understanding through effective use of lesson time</v>
      </c>
      <c r="F15" s="3">
        <f>IF(NOT($A15=$A14), COUNTIF(INDEX(tabEvidenceTracker[Teacher Standards''], 0), "*TS"&amp;tabStandards[[#This Row],[Standard]]&amp;".*"), "")</f>
        <v>0</v>
      </c>
      <c r="G15" s="3">
        <f>COUNTIF(INDEX(tabEvidenceTracker[Teacher Standards''], 0), "*"&amp;tabStandards[[#This Row],[Key]]&amp;"*")</f>
        <v>0</v>
      </c>
      <c r="H15" s="5">
        <f t="shared" si="0"/>
        <v>1</v>
      </c>
    </row>
    <row r="16" spans="1:11" ht="30" x14ac:dyDescent="0.25">
      <c r="A16" s="3">
        <v>4</v>
      </c>
      <c r="C16" s="1" t="s">
        <v>25</v>
      </c>
      <c r="D16" s="3" t="str">
        <f>_xlfn.CONCAT("TS", tabStandards[[#This Row],[Standard]], ".", tabStandards[[#This Row],[StdSpec Counter]])</f>
        <v>TS4.2</v>
      </c>
      <c r="E16" s="1" t="str">
        <f>_xlfn.CONCAT(tabStandards[[#This Row],[Key]], " ", tabStandards[[#This Row],[Specification]])</f>
        <v>TS4.2 promote a love of learning and children’s intellectual curiosity</v>
      </c>
      <c r="F16" s="3" t="str">
        <f>IF(NOT($A16=$A15), COUNTIF(INDEX(tabEvidenceTracker[Teacher Standards''], 0), "*TS"&amp;tabStandards[[#This Row],[Standard]]&amp;".*"), "")</f>
        <v/>
      </c>
      <c r="G16" s="3">
        <f>COUNTIF(INDEX(tabEvidenceTracker[Teacher Standards''], 0), "*"&amp;tabStandards[[#This Row],[Key]]&amp;"*")</f>
        <v>0</v>
      </c>
      <c r="H16" s="5">
        <f t="shared" si="0"/>
        <v>2</v>
      </c>
    </row>
    <row r="17" spans="1:8" ht="45" x14ac:dyDescent="0.25">
      <c r="A17" s="3">
        <v>4</v>
      </c>
      <c r="C17" s="1" t="s">
        <v>26</v>
      </c>
      <c r="D17" s="3" t="str">
        <f>_xlfn.CONCAT("TS", tabStandards[[#This Row],[Standard]], ".", tabStandards[[#This Row],[StdSpec Counter]])</f>
        <v>TS4.3</v>
      </c>
      <c r="E17" s="1" t="str">
        <f>_xlfn.CONCAT(tabStandards[[#This Row],[Key]], " ", tabStandards[[#This Row],[Specification]])</f>
        <v>TS4.3 set homework and plan other out-of-class activities to consolidate and extend the knowledge and understanding pupils have acquired</v>
      </c>
      <c r="F17" s="3" t="str">
        <f>IF(NOT($A17=$A16), COUNTIF(INDEX(tabEvidenceTracker[Teacher Standards''], 0), "*TS"&amp;tabStandards[[#This Row],[Standard]]&amp;".*"), "")</f>
        <v/>
      </c>
      <c r="G17" s="3">
        <f>COUNTIF(INDEX(tabEvidenceTracker[Teacher Standards''], 0), "*"&amp;tabStandards[[#This Row],[Key]]&amp;"*")</f>
        <v>0</v>
      </c>
      <c r="H17" s="5">
        <f t="shared" si="0"/>
        <v>3</v>
      </c>
    </row>
    <row r="18" spans="1:8" ht="30" x14ac:dyDescent="0.25">
      <c r="A18" s="3">
        <v>4</v>
      </c>
      <c r="C18" s="1" t="s">
        <v>27</v>
      </c>
      <c r="D18" s="3" t="str">
        <f>_xlfn.CONCAT("TS", tabStandards[[#This Row],[Standard]], ".", tabStandards[[#This Row],[StdSpec Counter]])</f>
        <v>TS4.4</v>
      </c>
      <c r="E18" s="1" t="str">
        <f>_xlfn.CONCAT(tabStandards[[#This Row],[Key]], " ", tabStandards[[#This Row],[Specification]])</f>
        <v>TS4.4 reflect systematically on the effectiveness of lessons and approaches to teaching</v>
      </c>
      <c r="F18" s="3" t="str">
        <f>IF(NOT($A18=$A17), COUNTIF(INDEX(tabEvidenceTracker[Teacher Standards''], 0), "*TS"&amp;tabStandards[[#This Row],[Standard]]&amp;".*"), "")</f>
        <v/>
      </c>
      <c r="G18" s="3">
        <f>COUNTIF(INDEX(tabEvidenceTracker[Teacher Standards''], 0), "*"&amp;tabStandards[[#This Row],[Key]]&amp;"*")</f>
        <v>0</v>
      </c>
      <c r="H18" s="5">
        <f t="shared" si="0"/>
        <v>4</v>
      </c>
    </row>
    <row r="19" spans="1:8" ht="45" x14ac:dyDescent="0.25">
      <c r="A19" s="3">
        <v>4</v>
      </c>
      <c r="C19" s="1" t="s">
        <v>28</v>
      </c>
      <c r="D19" s="3" t="str">
        <f>_xlfn.CONCAT("TS", tabStandards[[#This Row],[Standard]], ".", tabStandards[[#This Row],[StdSpec Counter]])</f>
        <v>TS4.5</v>
      </c>
      <c r="E19" s="1" t="str">
        <f>_xlfn.CONCAT(tabStandards[[#This Row],[Key]], " ", tabStandards[[#This Row],[Specification]])</f>
        <v>TS4.5 contribute to the design and provision of an engaging curriculum within the relevant subject area(s).</v>
      </c>
      <c r="F19" s="3" t="str">
        <f>IF(NOT($A19=$A18), COUNTIF(INDEX(tabEvidenceTracker[Teacher Standards''], 0), "*TS"&amp;tabStandards[[#This Row],[Standard]]&amp;".*"), "")</f>
        <v/>
      </c>
      <c r="G19" s="3">
        <f>COUNTIF(INDEX(tabEvidenceTracker[Teacher Standards''], 0), "*"&amp;tabStandards[[#This Row],[Key]]&amp;"*")</f>
        <v>0</v>
      </c>
      <c r="H19" s="5">
        <f t="shared" si="0"/>
        <v>5</v>
      </c>
    </row>
    <row r="20" spans="1:8" ht="45" x14ac:dyDescent="0.25">
      <c r="A20" s="3">
        <v>5</v>
      </c>
      <c r="B20" s="4" t="s">
        <v>29</v>
      </c>
      <c r="C20" s="1" t="s">
        <v>30</v>
      </c>
      <c r="D20" s="3" t="str">
        <f>_xlfn.CONCAT("TS", tabStandards[[#This Row],[Standard]], ".", tabStandards[[#This Row],[StdSpec Counter]])</f>
        <v>TS5.1</v>
      </c>
      <c r="E20" s="1" t="str">
        <f>_xlfn.CONCAT(tabStandards[[#This Row],[Key]], " ", tabStandards[[#This Row],[Specification]])</f>
        <v>TS5.1 know when and how to differentiate appropriately, using approaches which enable pupils to be taught effectively</v>
      </c>
      <c r="F20" s="3">
        <f>IF(NOT($A20=$A19), COUNTIF(INDEX(tabEvidenceTracker[Teacher Standards''], 0), "*TS"&amp;tabStandards[[#This Row],[Standard]]&amp;".*"), "")</f>
        <v>0</v>
      </c>
      <c r="G20" s="3">
        <f>COUNTIF(INDEX(tabEvidenceTracker[Teacher Standards''], 0), "*"&amp;tabStandards[[#This Row],[Key]]&amp;"*")</f>
        <v>0</v>
      </c>
      <c r="H20" s="5">
        <f t="shared" si="0"/>
        <v>1</v>
      </c>
    </row>
    <row r="21" spans="1:8" ht="45" x14ac:dyDescent="0.25">
      <c r="A21" s="3">
        <v>5</v>
      </c>
      <c r="C21" s="1" t="s">
        <v>31</v>
      </c>
      <c r="D21" s="3" t="str">
        <f>_xlfn.CONCAT("TS", tabStandards[[#This Row],[Standard]], ".", tabStandards[[#This Row],[StdSpec Counter]])</f>
        <v>TS5.2</v>
      </c>
      <c r="E21" s="1" t="str">
        <f>_xlfn.CONCAT(tabStandards[[#This Row],[Key]], " ", tabStandards[[#This Row],[Specification]])</f>
        <v>TS5.2 have a secure understanding of how a range of factors can inhibit pupils’ ability to learn, and how best to overcome these</v>
      </c>
      <c r="F21" s="3" t="str">
        <f>IF(NOT($A21=$A20), COUNTIF(INDEX(tabEvidenceTracker[Teacher Standards''], 0), "*TS"&amp;tabStandards[[#This Row],[Standard]]&amp;".*"), "")</f>
        <v/>
      </c>
      <c r="G21" s="3">
        <f>COUNTIF(INDEX(tabEvidenceTracker[Teacher Standards''], 0), "*"&amp;tabStandards[[#This Row],[Key]]&amp;"*")</f>
        <v>0</v>
      </c>
      <c r="H21" s="5">
        <f t="shared" si="0"/>
        <v>2</v>
      </c>
    </row>
    <row r="22" spans="1:8" ht="60" x14ac:dyDescent="0.25">
      <c r="A22" s="3">
        <v>5</v>
      </c>
      <c r="C22" s="1" t="s">
        <v>32</v>
      </c>
      <c r="D22" s="3" t="str">
        <f>_xlfn.CONCAT("TS", tabStandards[[#This Row],[Standard]], ".", tabStandards[[#This Row],[StdSpec Counter]])</f>
        <v>TS5.3</v>
      </c>
      <c r="E22" s="1" t="str">
        <f>_xlfn.CONCAT(tabStandards[[#This Row],[Key]], " ", tabStandards[[#This Row],[Specification]])</f>
        <v>TS5.3 demonstrate an awareness of the physical, social and intellectual development of children, and know how to adapt teaching to support pupils’ education at different stages of development</v>
      </c>
      <c r="F22" s="3" t="str">
        <f>IF(NOT($A22=$A21), COUNTIF(INDEX(tabEvidenceTracker[Teacher Standards''], 0), "*TS"&amp;tabStandards[[#This Row],[Standard]]&amp;".*"), "")</f>
        <v/>
      </c>
      <c r="G22" s="3">
        <f>COUNTIF(INDEX(tabEvidenceTracker[Teacher Standards''], 0), "*"&amp;tabStandards[[#This Row],[Key]]&amp;"*")</f>
        <v>0</v>
      </c>
      <c r="H22" s="5">
        <f t="shared" si="0"/>
        <v>3</v>
      </c>
    </row>
    <row r="23" spans="1:8" ht="90" x14ac:dyDescent="0.25">
      <c r="A23" s="3">
        <v>5</v>
      </c>
      <c r="C23" s="1" t="s">
        <v>33</v>
      </c>
      <c r="D23" s="3" t="str">
        <f>_xlfn.CONCAT("TS", tabStandards[[#This Row],[Standard]], ".", tabStandards[[#This Row],[StdSpec Counter]])</f>
        <v>TS5.4</v>
      </c>
      <c r="E23" s="1" t="str">
        <f>_xlfn.CONCAT(tabStandards[[#This Row],[Key]], " ", tabStandards[[#This Row],[Specification]])</f>
        <v>TS5.4 have a clear understanding of the needs of all pupils, including those with special educational needs; those of high ability; those with English as an additional language; those with disabilities; and be able to use and evaluate distinctive teaching approaches to engage and support them.</v>
      </c>
      <c r="F23" s="3" t="str">
        <f>IF(NOT($A23=$A22), COUNTIF(INDEX(tabEvidenceTracker[Teacher Standards''], 0), "*TS"&amp;tabStandards[[#This Row],[Standard]]&amp;".*"), "")</f>
        <v/>
      </c>
      <c r="G23" s="3">
        <f>COUNTIF(INDEX(tabEvidenceTracker[Teacher Standards''], 0), "*"&amp;tabStandards[[#This Row],[Key]]&amp;"*")</f>
        <v>0</v>
      </c>
      <c r="H23" s="5">
        <f t="shared" si="0"/>
        <v>4</v>
      </c>
    </row>
    <row r="24" spans="1:8" ht="45" x14ac:dyDescent="0.25">
      <c r="A24" s="3">
        <v>6</v>
      </c>
      <c r="B24" s="4" t="s">
        <v>34</v>
      </c>
      <c r="C24" s="1" t="s">
        <v>35</v>
      </c>
      <c r="D24" s="3" t="str">
        <f>_xlfn.CONCAT("TS", tabStandards[[#This Row],[Standard]], ".", tabStandards[[#This Row],[StdSpec Counter]])</f>
        <v>TS6.1</v>
      </c>
      <c r="E24" s="1" t="str">
        <f>_xlfn.CONCAT(tabStandards[[#This Row],[Key]], " ", tabStandards[[#This Row],[Specification]])</f>
        <v>TS6.1 know and understand how to assess the relevant subject and curriculum areas, including statutory assessment requirements</v>
      </c>
      <c r="F24" s="3">
        <f>IF(NOT($A24=$A23), COUNTIF(INDEX(tabEvidenceTracker[Teacher Standards''], 0), "*TS"&amp;tabStandards[[#This Row],[Standard]]&amp;".*"), "")</f>
        <v>0</v>
      </c>
      <c r="G24" s="3">
        <f>COUNTIF(INDEX(tabEvidenceTracker[Teacher Standards''], 0), "*"&amp;tabStandards[[#This Row],[Key]]&amp;"*")</f>
        <v>0</v>
      </c>
      <c r="H24" s="5">
        <f t="shared" si="0"/>
        <v>1</v>
      </c>
    </row>
    <row r="25" spans="1:8" ht="30" x14ac:dyDescent="0.25">
      <c r="A25" s="3">
        <v>6</v>
      </c>
      <c r="C25" s="1" t="s">
        <v>36</v>
      </c>
      <c r="D25" s="3" t="str">
        <f>_xlfn.CONCAT("TS", tabStandards[[#This Row],[Standard]], ".", tabStandards[[#This Row],[StdSpec Counter]])</f>
        <v>TS6.2</v>
      </c>
      <c r="E25" s="1" t="str">
        <f>_xlfn.CONCAT(tabStandards[[#This Row],[Key]], " ", tabStandards[[#This Row],[Specification]])</f>
        <v>TS6.2 make use of formative and summative assessment to secure pupils’ progress</v>
      </c>
      <c r="F25" s="3" t="str">
        <f>IF(NOT($A25=$A24), COUNTIF(INDEX(tabEvidenceTracker[Teacher Standards''], 0), "*TS"&amp;tabStandards[[#This Row],[Standard]]&amp;".*"), "")</f>
        <v/>
      </c>
      <c r="G25" s="3">
        <f>COUNTIF(INDEX(tabEvidenceTracker[Teacher Standards''], 0), "*"&amp;tabStandards[[#This Row],[Key]]&amp;"*")</f>
        <v>0</v>
      </c>
      <c r="H25" s="5">
        <f t="shared" si="0"/>
        <v>2</v>
      </c>
    </row>
    <row r="26" spans="1:8" ht="30" x14ac:dyDescent="0.25">
      <c r="A26" s="3">
        <v>6</v>
      </c>
      <c r="C26" s="1" t="s">
        <v>37</v>
      </c>
      <c r="D26" s="3" t="str">
        <f>_xlfn.CONCAT("TS", tabStandards[[#This Row],[Standard]], ".", tabStandards[[#This Row],[StdSpec Counter]])</f>
        <v>TS6.3</v>
      </c>
      <c r="E26" s="1" t="str">
        <f>_xlfn.CONCAT(tabStandards[[#This Row],[Key]], " ", tabStandards[[#This Row],[Specification]])</f>
        <v>TS6.3 use relevant data to monitor progress, set targets, and plan subsequent lessons</v>
      </c>
      <c r="F26" s="3" t="str">
        <f>IF(NOT($A26=$A25), COUNTIF(INDEX(tabEvidenceTracker[Teacher Standards''], 0), "*TS"&amp;tabStandards[[#This Row],[Standard]]&amp;".*"), "")</f>
        <v/>
      </c>
      <c r="G26" s="3">
        <f>COUNTIF(INDEX(tabEvidenceTracker[Teacher Standards''], 0), "*"&amp;tabStandards[[#This Row],[Key]]&amp;"*")</f>
        <v>0</v>
      </c>
      <c r="H26" s="5">
        <f t="shared" si="0"/>
        <v>3</v>
      </c>
    </row>
    <row r="27" spans="1:8" ht="45" x14ac:dyDescent="0.25">
      <c r="A27" s="3">
        <v>6</v>
      </c>
      <c r="C27" s="1" t="s">
        <v>38</v>
      </c>
      <c r="D27" s="3" t="str">
        <f>_xlfn.CONCAT("TS", tabStandards[[#This Row],[Standard]], ".", tabStandards[[#This Row],[StdSpec Counter]])</f>
        <v>TS6.4</v>
      </c>
      <c r="E27" s="1" t="str">
        <f>_xlfn.CONCAT(tabStandards[[#This Row],[Key]], " ", tabStandards[[#This Row],[Specification]])</f>
        <v>TS6.4 give pupils regular feedback, both orally and through accurate marking, and encourage pupils to respond to the feedback.</v>
      </c>
      <c r="F27" s="3" t="str">
        <f>IF(NOT($A27=$A26), COUNTIF(INDEX(tabEvidenceTracker[Teacher Standards''], 0), "*TS"&amp;tabStandards[[#This Row],[Standard]]&amp;".*"), "")</f>
        <v/>
      </c>
      <c r="G27" s="3">
        <f>COUNTIF(INDEX(tabEvidenceTracker[Teacher Standards''], 0), "*"&amp;tabStandards[[#This Row],[Key]]&amp;"*")</f>
        <v>0</v>
      </c>
      <c r="H27" s="5">
        <f t="shared" si="0"/>
        <v>4</v>
      </c>
    </row>
    <row r="28" spans="1:8" ht="75" x14ac:dyDescent="0.25">
      <c r="A28" s="3">
        <v>7</v>
      </c>
      <c r="B28" s="4" t="s">
        <v>39</v>
      </c>
      <c r="C28" s="1" t="s">
        <v>40</v>
      </c>
      <c r="D28" s="3" t="str">
        <f>_xlfn.CONCAT("TS", tabStandards[[#This Row],[Standard]], ".", tabStandards[[#This Row],[StdSpec Counter]])</f>
        <v>TS7.1</v>
      </c>
      <c r="E28" s="1" t="str">
        <f>_xlfn.CONCAT(tabStandards[[#This Row],[Key]], " ", tabStandards[[#This Row],[Specification]])</f>
        <v>TS7.1 have clear rules and routines for behaviour in classrooms, and take responsibility for promoting good and courteous behaviour both in classrooms and around the school, in accordance with the school’s behaviour policy</v>
      </c>
      <c r="F28" s="3">
        <f>IF(NOT($A28=$A27), COUNTIF(INDEX(tabEvidenceTracker[Teacher Standards''], 0), "*TS"&amp;tabStandards[[#This Row],[Standard]]&amp;".*"), "")</f>
        <v>1</v>
      </c>
      <c r="G28" s="3">
        <f>COUNTIF(INDEX(tabEvidenceTracker[Teacher Standards''], 0), "*"&amp;tabStandards[[#This Row],[Key]]&amp;"*")</f>
        <v>0</v>
      </c>
      <c r="H28" s="5">
        <f t="shared" si="0"/>
        <v>1</v>
      </c>
    </row>
    <row r="29" spans="1:8" ht="60" x14ac:dyDescent="0.25">
      <c r="A29" s="3">
        <v>7</v>
      </c>
      <c r="C29" s="1" t="s">
        <v>41</v>
      </c>
      <c r="D29" s="3" t="str">
        <f>_xlfn.CONCAT("TS", tabStandards[[#This Row],[Standard]], ".", tabStandards[[#This Row],[StdSpec Counter]])</f>
        <v>TS7.2</v>
      </c>
      <c r="E29" s="1" t="str">
        <f>_xlfn.CONCAT(tabStandards[[#This Row],[Key]], " ", tabStandards[[#This Row],[Specification]])</f>
        <v>TS7.2 have high expectations of behaviour, and establish a framework for discipline with a range of strategies, using praise, sanctions and rewards consistently and fairly</v>
      </c>
      <c r="F29" s="3" t="str">
        <f>IF(NOT($A29=$A28), COUNTIF(INDEX(tabEvidenceTracker[Teacher Standards''], 0), "*TS"&amp;tabStandards[[#This Row],[Standard]]&amp;".*"), "")</f>
        <v/>
      </c>
      <c r="G29" s="3">
        <f>COUNTIF(INDEX(tabEvidenceTracker[Teacher Standards''], 0), "*"&amp;tabStandards[[#This Row],[Key]]&amp;"*")</f>
        <v>0</v>
      </c>
      <c r="H29" s="5">
        <f t="shared" si="0"/>
        <v>2</v>
      </c>
    </row>
    <row r="30" spans="1:8" ht="45" x14ac:dyDescent="0.25">
      <c r="A30" s="3">
        <v>7</v>
      </c>
      <c r="C30" s="1" t="s">
        <v>42</v>
      </c>
      <c r="D30" s="3" t="str">
        <f>_xlfn.CONCAT("TS", tabStandards[[#This Row],[Standard]], ".", tabStandards[[#This Row],[StdSpec Counter]])</f>
        <v>TS7.3</v>
      </c>
      <c r="E30" s="1" t="str">
        <f>_xlfn.CONCAT(tabStandards[[#This Row],[Key]], " ", tabStandards[[#This Row],[Specification]])</f>
        <v>TS7.3 manage classes effectively, using approaches which are appropriate to pupils’ needs in order to involve and motivate them</v>
      </c>
      <c r="F30" s="3" t="str">
        <f>IF(NOT($A30=$A29), COUNTIF(INDEX(tabEvidenceTracker[Teacher Standards''], 0), "*TS"&amp;tabStandards[[#This Row],[Standard]]&amp;".*"), "")</f>
        <v/>
      </c>
      <c r="G30" s="3">
        <f>COUNTIF(INDEX(tabEvidenceTracker[Teacher Standards''], 0), "*"&amp;tabStandards[[#This Row],[Key]]&amp;"*")</f>
        <v>1</v>
      </c>
      <c r="H30" s="5">
        <f t="shared" si="0"/>
        <v>3</v>
      </c>
    </row>
    <row r="31" spans="1:8" ht="45" x14ac:dyDescent="0.25">
      <c r="A31" s="3">
        <v>7</v>
      </c>
      <c r="C31" s="1" t="s">
        <v>43</v>
      </c>
      <c r="D31" s="3" t="str">
        <f>_xlfn.CONCAT("TS", tabStandards[[#This Row],[Standard]], ".", tabStandards[[#This Row],[StdSpec Counter]])</f>
        <v>TS7.4</v>
      </c>
      <c r="E31" s="1" t="str">
        <f>_xlfn.CONCAT(tabStandards[[#This Row],[Key]], " ", tabStandards[[#This Row],[Specification]])</f>
        <v>TS7.4 maintain good relationships with pupils, exercise appropriate authority, and act decisively when necessary.</v>
      </c>
      <c r="F31" s="3" t="str">
        <f>IF(NOT($A31=$A30), COUNTIF(INDEX(tabEvidenceTracker[Teacher Standards''], 0), "*TS"&amp;tabStandards[[#This Row],[Standard]]&amp;".*"), "")</f>
        <v/>
      </c>
      <c r="G31" s="3">
        <f>COUNTIF(INDEX(tabEvidenceTracker[Teacher Standards''], 0), "*"&amp;tabStandards[[#This Row],[Key]]&amp;"*")</f>
        <v>0</v>
      </c>
      <c r="H31" s="5">
        <f t="shared" si="0"/>
        <v>4</v>
      </c>
    </row>
    <row r="32" spans="1:8" ht="30" x14ac:dyDescent="0.25">
      <c r="A32" s="3">
        <v>8</v>
      </c>
      <c r="B32" s="4" t="s">
        <v>44</v>
      </c>
      <c r="C32" s="1" t="s">
        <v>45</v>
      </c>
      <c r="D32" s="3" t="str">
        <f>_xlfn.CONCAT("TS", tabStandards[[#This Row],[Standard]], ".", tabStandards[[#This Row],[StdSpec Counter]])</f>
        <v>TS8.1</v>
      </c>
      <c r="E32" s="1" t="str">
        <f>_xlfn.CONCAT(tabStandards[[#This Row],[Key]], " ", tabStandards[[#This Row],[Specification]])</f>
        <v>TS8.1 make a positive contribution to the wider life and ethos of the school</v>
      </c>
      <c r="F32" s="3">
        <f>IF(NOT($A32=$A31), COUNTIF(INDEX(tabEvidenceTracker[Teacher Standards''], 0), "*TS"&amp;tabStandards[[#This Row],[Standard]]&amp;".*"), "")</f>
        <v>1</v>
      </c>
      <c r="G32" s="3">
        <f>COUNTIF(INDEX(tabEvidenceTracker[Teacher Standards''], 0), "*"&amp;tabStandards[[#This Row],[Key]]&amp;"*")</f>
        <v>0</v>
      </c>
      <c r="H32" s="5">
        <f t="shared" si="0"/>
        <v>1</v>
      </c>
    </row>
    <row r="33" spans="1:8" ht="45" x14ac:dyDescent="0.25">
      <c r="A33" s="3">
        <v>8</v>
      </c>
      <c r="C33" s="1" t="s">
        <v>46</v>
      </c>
      <c r="D33" s="3" t="str">
        <f>_xlfn.CONCAT("TS", tabStandards[[#This Row],[Standard]], ".", tabStandards[[#This Row],[StdSpec Counter]])</f>
        <v>TS8.2</v>
      </c>
      <c r="E33" s="1" t="str">
        <f>_xlfn.CONCAT(tabStandards[[#This Row],[Key]], " ", tabStandards[[#This Row],[Specification]])</f>
        <v>TS8.2 develop effective professional relationships with colleagues, knowing how and when to draw on advice and specialist support</v>
      </c>
      <c r="F33" s="3" t="str">
        <f>IF(NOT($A33=$A32), COUNTIF(INDEX(tabEvidenceTracker[Teacher Standards''], 0), "*TS"&amp;tabStandards[[#This Row],[Standard]]&amp;".*"), "")</f>
        <v/>
      </c>
      <c r="G33" s="3">
        <f>COUNTIF(INDEX(tabEvidenceTracker[Teacher Standards''], 0), "*"&amp;tabStandards[[#This Row],[Key]]&amp;"*")</f>
        <v>0</v>
      </c>
      <c r="H33" s="5">
        <f t="shared" si="0"/>
        <v>2</v>
      </c>
    </row>
    <row r="34" spans="1:8" x14ac:dyDescent="0.25">
      <c r="A34" s="3">
        <v>8</v>
      </c>
      <c r="C34" s="1" t="s">
        <v>47</v>
      </c>
      <c r="D34" s="3" t="str">
        <f>_xlfn.CONCAT("TS", tabStandards[[#This Row],[Standard]], ".", tabStandards[[#This Row],[StdSpec Counter]])</f>
        <v>TS8.3</v>
      </c>
      <c r="E34" s="1" t="str">
        <f>_xlfn.CONCAT(tabStandards[[#This Row],[Key]], " ", tabStandards[[#This Row],[Specification]])</f>
        <v>TS8.3 deploy support staff effectively</v>
      </c>
      <c r="F34" s="3" t="str">
        <f>IF(NOT($A34=$A33), COUNTIF(INDEX(tabEvidenceTracker[Teacher Standards''], 0), "*TS"&amp;tabStandards[[#This Row],[Standard]]&amp;".*"), "")</f>
        <v/>
      </c>
      <c r="G34" s="3">
        <f>COUNTIF(INDEX(tabEvidenceTracker[Teacher Standards''], 0), "*"&amp;tabStandards[[#This Row],[Key]]&amp;"*")</f>
        <v>1</v>
      </c>
      <c r="H34" s="5">
        <f t="shared" si="0"/>
        <v>3</v>
      </c>
    </row>
    <row r="35" spans="1:8" ht="45" x14ac:dyDescent="0.25">
      <c r="A35" s="3">
        <v>8</v>
      </c>
      <c r="C35" s="1" t="s">
        <v>48</v>
      </c>
      <c r="D35" s="3" t="str">
        <f>_xlfn.CONCAT("TS", tabStandards[[#This Row],[Standard]], ".", tabStandards[[#This Row],[StdSpec Counter]])</f>
        <v>TS8.4</v>
      </c>
      <c r="E35" s="1" t="str">
        <f>_xlfn.CONCAT(tabStandards[[#This Row],[Key]], " ", tabStandards[[#This Row],[Specification]])</f>
        <v>TS8.4 take responsibility for improving teaching through appropriate professional development, responding to advice and feedback from colleagues</v>
      </c>
      <c r="F35" s="3" t="str">
        <f>IF(NOT($A35=$A34), COUNTIF(INDEX(tabEvidenceTracker[Teacher Standards''], 0), "*TS"&amp;tabStandards[[#This Row],[Standard]]&amp;".*"), "")</f>
        <v/>
      </c>
      <c r="G35" s="3">
        <f>COUNTIF(INDEX(tabEvidenceTracker[Teacher Standards''], 0), "*"&amp;tabStandards[[#This Row],[Key]]&amp;"*")</f>
        <v>0</v>
      </c>
      <c r="H35" s="5">
        <f t="shared" si="0"/>
        <v>4</v>
      </c>
    </row>
    <row r="36" spans="1:8" ht="30" x14ac:dyDescent="0.25">
      <c r="A36" s="3">
        <v>8</v>
      </c>
      <c r="C36" s="1" t="s">
        <v>49</v>
      </c>
      <c r="D36" s="3" t="str">
        <f>_xlfn.CONCAT("TS", tabStandards[[#This Row],[Standard]], ".", tabStandards[[#This Row],[StdSpec Counter]])</f>
        <v>TS8.5</v>
      </c>
      <c r="E36" s="1" t="str">
        <f>_xlfn.CONCAT(tabStandards[[#This Row],[Key]], " ", tabStandards[[#This Row],[Specification]])</f>
        <v>TS8.5 communicate effectively with parents with regard to pupils’ achievements and well-being.</v>
      </c>
      <c r="F36" s="3" t="str">
        <f>IF(NOT($A36=$A35), COUNTIF(INDEX(tabEvidenceTracker[Teacher Standards''], 0), "*TS"&amp;tabStandards[[#This Row],[Standard]]&amp;".*"), "")</f>
        <v/>
      </c>
      <c r="G36" s="3">
        <f>COUNTIF(INDEX(tabEvidenceTracker[Teacher Standards''], 0), "*"&amp;tabStandards[[#This Row],[Key]]&amp;"*")</f>
        <v>0</v>
      </c>
      <c r="H36" s="5">
        <f t="shared" si="0"/>
        <v>5</v>
      </c>
    </row>
  </sheetData>
  <conditionalFormatting sqref="G2:G36">
    <cfRule type="colorScale" priority="1">
      <colorScale>
        <cfvo type="formula" val="$K$2"/>
        <cfvo type="formula" val="$K$3"/>
        <cfvo type="formula" val="$K$4"/>
        <color rgb="FFF8696B"/>
        <color rgb="FFFFEB84"/>
        <color rgb="FF63BE7B"/>
      </colorScale>
    </cfRule>
  </conditionalFormatting>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EvidenceTracker</vt:lpstr>
      <vt:lpstr>Standards</vt:lpstr>
      <vt:lpstr>colStdSpecs</vt:lpstr>
      <vt:lpstr>colTS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Ridwan B</dc:creator>
  <cp:lastModifiedBy>Ridwan B</cp:lastModifiedBy>
  <dcterms:created xsi:type="dcterms:W3CDTF">2022-04-05T23:37:05Z</dcterms:created>
  <dcterms:modified xsi:type="dcterms:W3CDTF">2022-04-06T01:15:34Z</dcterms:modified>
</cp:coreProperties>
</file>